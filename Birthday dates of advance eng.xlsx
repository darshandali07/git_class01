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movio-my.sharepoint.com/personal/uig15036_automotive-wan_com/Documents/Desktop/"/>
    </mc:Choice>
  </mc:AlternateContent>
  <xr:revisionPtr revIDLastSave="53" documentId="13_ncr:1_{7A2BF7A0-B7A2-478E-886D-7A428B0714B6}" xr6:coauthVersionLast="47" xr6:coauthVersionMax="47" xr10:uidLastSave="{80881756-EA18-480B-95C9-8EC140451675}"/>
  <bookViews>
    <workbookView minimized="1" xWindow="33600" yWindow="3765" windowWidth="17280" windowHeight="8880" xr2:uid="{11C71F8B-C28E-4085-B9F5-8418A5C551A4}"/>
  </bookViews>
  <sheets>
    <sheet name="Birthday dates" sheetId="1" r:id="rId1"/>
    <sheet name="Sheet1" sheetId="2" r:id="rId2"/>
  </sheets>
  <definedNames>
    <definedName name="_xlnm._FilterDatabase" localSheetId="0" hidden="1">'Birthday dates'!$A$2:$H$13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14" i="1"/>
  <c r="I21" i="1"/>
  <c r="H12" i="1"/>
  <c r="H11" i="1"/>
  <c r="H10" i="1"/>
  <c r="H3" i="1"/>
  <c r="H4" i="1"/>
  <c r="H5" i="1"/>
  <c r="H6" i="1"/>
  <c r="H7" i="1"/>
  <c r="H8" i="1"/>
  <c r="H9" i="1"/>
  <c r="H13" i="1"/>
</calcChain>
</file>

<file path=xl/sharedStrings.xml><?xml version="1.0" encoding="utf-8"?>
<sst xmlns="http://schemas.openxmlformats.org/spreadsheetml/2006/main" count="25" uniqueCount="25">
  <si>
    <t>ADVANCE ENGINEERING</t>
  </si>
  <si>
    <t xml:space="preserve">NAME </t>
  </si>
  <si>
    <t>SL.NO</t>
  </si>
  <si>
    <t>DOB</t>
  </si>
  <si>
    <t>Arpitha Maruthi </t>
  </si>
  <si>
    <t>Darshan kumar K U</t>
  </si>
  <si>
    <t>Kavya VP</t>
  </si>
  <si>
    <t>O, Bharath</t>
  </si>
  <si>
    <t xml:space="preserve">Rohini Nanjunde </t>
  </si>
  <si>
    <t>Siranjeevi, K S</t>
  </si>
  <si>
    <t>Uma K Gopalkrishnan</t>
  </si>
  <si>
    <t>Vanishree Dharanesh</t>
  </si>
  <si>
    <t>Reminder</t>
  </si>
  <si>
    <t>Paid</t>
  </si>
  <si>
    <t>cake</t>
  </si>
  <si>
    <t>plates and tissue</t>
  </si>
  <si>
    <t>Total</t>
  </si>
  <si>
    <t>Auguest month celabration cost</t>
  </si>
  <si>
    <t>Sep</t>
  </si>
  <si>
    <t>Kiran</t>
  </si>
  <si>
    <t>Mona</t>
  </si>
  <si>
    <t>Sahana</t>
  </si>
  <si>
    <t>Gift</t>
  </si>
  <si>
    <t>Gift covering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</si>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</sst>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52424"/>
      <name val="Segoe U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2344-C93E-47ED-A312-ABCA76FD0164}">
  <dimension ref="A1:J22"/>
  <sheetViews>
    <sheetView tabSelected="1" topLeftCell="B1" workbookViewId="0">
      <selection activeCell="J33" sqref="J33"/>
    </sheetView>
  </sheetViews>
  <sheetFormatPr defaultRowHeight="14.4" x14ac:dyDescent="0.3"/>
  <cols>
    <col min="2" max="2" width="45.77734375" customWidth="1"/>
    <col min="3" max="3" width="8.77734375" customWidth="1"/>
    <col min="4" max="4" width="8.88671875" hidden="1" customWidth="1"/>
    <col min="5" max="5" width="8.6640625" hidden="1" customWidth="1"/>
    <col min="6" max="6" width="12.77734375" hidden="1" customWidth="1"/>
    <col min="7" max="7" width="21.109375" hidden="1" customWidth="1"/>
    <col min="8" max="8" width="21.77734375" customWidth="1"/>
    <col min="9" max="9" width="11" bestFit="1" customWidth="1"/>
    <col min="10" max="10" width="9.77734375" customWidth="1"/>
  </cols>
  <sheetData>
    <row r="1" spans="1:10" x14ac:dyDescent="0.3">
      <c r="A1" s="14" t="s">
        <v>0</v>
      </c>
      <c r="B1" s="14"/>
      <c r="C1" s="14"/>
      <c r="D1" s="14"/>
      <c r="E1" s="14"/>
      <c r="F1" s="14"/>
      <c r="G1" s="14"/>
      <c r="H1" s="15"/>
      <c r="I1" s="13" t="s">
        <v>13</v>
      </c>
      <c r="J1" s="13" t="s">
        <v>18</v>
      </c>
    </row>
    <row r="2" spans="1:10" x14ac:dyDescent="0.3">
      <c r="A2" s="9" t="s">
        <v>2</v>
      </c>
      <c r="B2" s="9" t="s">
        <v>1</v>
      </c>
      <c r="C2" s="9" t="s">
        <v>3</v>
      </c>
      <c r="D2" s="8"/>
      <c r="E2" s="8"/>
      <c r="F2" s="8"/>
      <c r="G2" s="8"/>
      <c r="H2" s="10" t="s">
        <v>12</v>
      </c>
      <c r="I2" s="13"/>
      <c r="J2" s="13"/>
    </row>
    <row r="3" spans="1:10" ht="16.8" x14ac:dyDescent="0.3">
      <c r="A3" s="4">
        <v>2</v>
      </c>
      <c r="B3" s="3" t="s">
        <v>4</v>
      </c>
      <c r="C3" s="5">
        <v>45187</v>
      </c>
      <c r="D3" s="2"/>
      <c r="E3" s="2"/>
      <c r="H3" s="12" t="str">
        <f t="shared" ref="H3:H13" ca="1" si="0">IF(MONTH(C3)&lt;&gt;MONTH(TODAY()),"",IF(DAY(C3)&lt;&gt;DAY(TODAY()),"","HAPPY BIRTH DAY"))</f>
        <v/>
      </c>
      <c r="I3" s="11">
        <v>200</v>
      </c>
      <c r="J3" s="1"/>
    </row>
    <row r="4" spans="1:10" x14ac:dyDescent="0.3">
      <c r="A4" s="4">
        <v>5</v>
      </c>
      <c r="B4" s="6" t="s">
        <v>5</v>
      </c>
      <c r="C4" s="7"/>
      <c r="H4" s="12" t="str">
        <f t="shared" ref="H4:H8" ca="1" si="1">IF(MONTH(C4)&lt;&gt;MONTH(TODAY()),"",IF(DAY(C4)&lt;&gt;DAY(TODAY()),"","HAPPY BIRTH DAY"))</f>
        <v/>
      </c>
      <c r="I4" s="11">
        <v>200</v>
      </c>
      <c r="J4" s="11"/>
    </row>
    <row r="5" spans="1:10" x14ac:dyDescent="0.3">
      <c r="A5" s="4">
        <v>9</v>
      </c>
      <c r="B5" s="6" t="s">
        <v>6</v>
      </c>
      <c r="C5" s="7">
        <v>44972</v>
      </c>
      <c r="H5" s="12" t="str">
        <f t="shared" ca="1" si="1"/>
        <v/>
      </c>
      <c r="I5" s="11">
        <v>200</v>
      </c>
      <c r="J5" s="11"/>
    </row>
    <row r="6" spans="1:10" x14ac:dyDescent="0.3">
      <c r="A6" s="4">
        <v>15</v>
      </c>
      <c r="B6" s="6" t="s">
        <v>7</v>
      </c>
      <c r="C6" s="7">
        <v>45148</v>
      </c>
      <c r="H6" s="12" t="str">
        <f t="shared" ca="1" si="1"/>
        <v/>
      </c>
      <c r="I6" s="11"/>
      <c r="J6" s="1"/>
    </row>
    <row r="7" spans="1:10" hidden="1" x14ac:dyDescent="0.3">
      <c r="A7" s="4">
        <v>18</v>
      </c>
      <c r="B7" s="6" t="s">
        <v>8</v>
      </c>
      <c r="C7" s="7">
        <v>44974</v>
      </c>
      <c r="H7" s="12" t="str">
        <f t="shared" ca="1" si="1"/>
        <v/>
      </c>
      <c r="I7" s="11"/>
      <c r="J7" s="11"/>
    </row>
    <row r="8" spans="1:10" x14ac:dyDescent="0.3">
      <c r="A8" s="4">
        <v>21</v>
      </c>
      <c r="B8" s="6" t="s">
        <v>9</v>
      </c>
      <c r="C8" s="7">
        <v>45028</v>
      </c>
      <c r="H8" s="12" t="str">
        <f t="shared" ca="1" si="1"/>
        <v/>
      </c>
      <c r="I8" s="11">
        <v>200</v>
      </c>
      <c r="J8" s="11"/>
    </row>
    <row r="9" spans="1:10" ht="16.8" x14ac:dyDescent="0.3">
      <c r="A9" s="4">
        <v>23</v>
      </c>
      <c r="B9" s="3" t="s">
        <v>10</v>
      </c>
      <c r="C9" s="7">
        <v>45215</v>
      </c>
      <c r="H9" s="12" t="str">
        <f t="shared" ca="1" si="0"/>
        <v/>
      </c>
      <c r="I9" s="11"/>
      <c r="J9" s="11"/>
    </row>
    <row r="10" spans="1:10" ht="16.8" x14ac:dyDescent="0.3">
      <c r="A10" s="4"/>
      <c r="B10" s="3" t="s">
        <v>19</v>
      </c>
      <c r="C10" s="7">
        <v>45949</v>
      </c>
      <c r="H10" s="12" t="str">
        <f t="shared" ca="1" si="0"/>
        <v/>
      </c>
      <c r="I10" s="11">
        <v>200</v>
      </c>
      <c r="J10" s="11"/>
    </row>
    <row r="11" spans="1:10" ht="16.8" x14ac:dyDescent="0.3">
      <c r="A11" s="4"/>
      <c r="B11" s="3" t="s">
        <v>20</v>
      </c>
      <c r="C11" s="7">
        <v>45991</v>
      </c>
      <c r="H11" s="12" t="str">
        <f t="shared" ca="1" si="0"/>
        <v/>
      </c>
      <c r="I11" s="11">
        <v>200</v>
      </c>
      <c r="J11" s="11"/>
    </row>
    <row r="12" spans="1:10" ht="16.8" x14ac:dyDescent="0.3">
      <c r="A12" s="4"/>
      <c r="B12" s="3" t="s">
        <v>21</v>
      </c>
      <c r="C12" s="7">
        <v>45728</v>
      </c>
      <c r="H12" s="12" t="str">
        <f t="shared" ca="1" si="0"/>
        <v/>
      </c>
      <c r="I12" s="11">
        <v>200</v>
      </c>
      <c r="J12" s="11"/>
    </row>
    <row r="13" spans="1:10" hidden="1" x14ac:dyDescent="0.3">
      <c r="A13" s="4">
        <v>24</v>
      </c>
      <c r="B13" s="6" t="s">
        <v>11</v>
      </c>
      <c r="C13" s="7">
        <v>44953</v>
      </c>
      <c r="H13" s="12" t="str">
        <f t="shared" ca="1" si="0"/>
        <v/>
      </c>
      <c r="I13" s="11"/>
      <c r="J13" s="11"/>
    </row>
    <row r="14" spans="1:10" x14ac:dyDescent="0.3">
      <c r="I14" s="25">
        <f>SUM(I3:I12)</f>
        <v>1400</v>
      </c>
    </row>
    <row r="17" spans="1:9" x14ac:dyDescent="0.3">
      <c r="A17" s="19">
        <v>2</v>
      </c>
      <c r="B17" s="16" t="s">
        <v>17</v>
      </c>
      <c r="C17" s="20" t="s">
        <v>22</v>
      </c>
      <c r="D17" s="21"/>
      <c r="E17" s="21"/>
      <c r="F17" s="21"/>
      <c r="G17" s="21"/>
      <c r="H17" s="22"/>
      <c r="I17" s="4">
        <v>800</v>
      </c>
    </row>
    <row r="18" spans="1:9" x14ac:dyDescent="0.3">
      <c r="A18" s="19"/>
      <c r="B18" s="17"/>
      <c r="C18" s="20" t="s">
        <v>23</v>
      </c>
      <c r="D18" s="21"/>
      <c r="E18" s="21"/>
      <c r="F18" s="21"/>
      <c r="G18" s="21"/>
      <c r="H18" s="22"/>
      <c r="I18" s="4">
        <v>20</v>
      </c>
    </row>
    <row r="19" spans="1:9" x14ac:dyDescent="0.3">
      <c r="A19" s="19"/>
      <c r="B19" s="17"/>
      <c r="C19" s="20" t="s">
        <v>15</v>
      </c>
      <c r="D19" s="21"/>
      <c r="E19" s="21"/>
      <c r="F19" s="21"/>
      <c r="G19" s="21"/>
      <c r="H19" s="22"/>
      <c r="I19" s="4">
        <v>50</v>
      </c>
    </row>
    <row r="20" spans="1:9" x14ac:dyDescent="0.3">
      <c r="A20" s="19"/>
      <c r="B20" s="17"/>
      <c r="C20" s="20" t="s">
        <v>14</v>
      </c>
      <c r="D20" s="21"/>
      <c r="E20" s="21"/>
      <c r="F20" s="21"/>
      <c r="G20" s="21"/>
      <c r="H20" s="22"/>
      <c r="I20" s="4">
        <v>511</v>
      </c>
    </row>
    <row r="21" spans="1:9" x14ac:dyDescent="0.3">
      <c r="A21" s="19"/>
      <c r="B21" s="18"/>
      <c r="C21" s="23" t="s">
        <v>16</v>
      </c>
      <c r="D21" s="23"/>
      <c r="E21" s="23"/>
      <c r="F21" s="23"/>
      <c r="G21" s="23"/>
      <c r="H21" s="23"/>
      <c r="I21" s="24">
        <f>SUM(I17:I20)</f>
        <v>1381</v>
      </c>
    </row>
    <row r="22" spans="1:9" x14ac:dyDescent="0.3">
      <c r="H22" s="27" t="s">
        <v>24</v>
      </c>
      <c r="I22" s="26">
        <f>I14-I21</f>
        <v>19</v>
      </c>
    </row>
  </sheetData>
  <autoFilter ref="A2:H13" xr:uid="{01102344-C93E-47ED-A312-ABCA76FD0164}">
    <sortState xmlns:xlrd2="http://schemas.microsoft.com/office/spreadsheetml/2017/richdata2" ref="A4:H8">
      <sortCondition ref="C2:C13"/>
    </sortState>
  </autoFilter>
  <mergeCells count="10">
    <mergeCell ref="B17:B21"/>
    <mergeCell ref="A17:A21"/>
    <mergeCell ref="C17:H17"/>
    <mergeCell ref="C18:H18"/>
    <mergeCell ref="C19:H19"/>
    <mergeCell ref="C21:H21"/>
    <mergeCell ref="C20:H20"/>
    <mergeCell ref="J1:J2"/>
    <mergeCell ref="A1:H1"/>
    <mergeCell ref="I1:I2"/>
  </mergeCells>
  <pageMargins left="0.7" right="0.7" top="0.75" bottom="0.75" header="0.3" footer="0.3"/>
  <pageSetup orientation="portrait" r:id="rId1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E4C3-A277-4150-A9FC-07B318313B32}">
  <dimension ref="A1"/>
  <sheetViews>
    <sheetView workbookViewId="0"/>
  </sheetViews>
  <sheetFormatPr defaultRowHeight="14.4" x14ac:dyDescent="0.3"/>
  <sheetData/>
  <pageMargins left="0.7" right="0.7" top="0.75" bottom="0.75" header="0.3" footer="0.3"/>
  <headerFooter>
    <oddFooter>&amp;C_x000D_&amp;1#&amp;"Calibri"&amp;8&amp;K000000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870A7334FF2B47A62A610B973CC6AA" ma:contentTypeVersion="7" ma:contentTypeDescription="Create a new document." ma:contentTypeScope="" ma:versionID="c143ddfd0db585b0bcfea2ec4763a5f8">
  <xsd:schema xmlns:xsd="http://www.w3.org/2001/XMLSchema" xmlns:xs="http://www.w3.org/2001/XMLSchema" xmlns:p="http://schemas.microsoft.com/office/2006/metadata/properties" xmlns:ns3="e42be13f-e5ef-41e8-875b-c2fffbb80c84" xmlns:ns4="db896c0a-53e4-464b-818b-7eac029161d2" targetNamespace="http://schemas.microsoft.com/office/2006/metadata/properties" ma:root="true" ma:fieldsID="3fb96c5c415cedf51b433225867e968d" ns3:_="" ns4:_="">
    <xsd:import namespace="e42be13f-e5ef-41e8-875b-c2fffbb80c84"/>
    <xsd:import namespace="db896c0a-53e4-464b-818b-7eac029161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be13f-e5ef-41e8-875b-c2fffbb80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96c0a-53e4-464b-818b-7eac029161d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2be13f-e5ef-41e8-875b-c2fffbb80c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47BC8A-AAAD-4837-8535-427DC7A9B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2be13f-e5ef-41e8-875b-c2fffbb80c84"/>
    <ds:schemaRef ds:uri="db896c0a-53e4-464b-818b-7eac029161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5A2C5A-05E8-467F-B152-51FEFEF2189A}">
  <ds:schemaRefs>
    <ds:schemaRef ds:uri="db896c0a-53e4-464b-818b-7eac029161d2"/>
    <ds:schemaRef ds:uri="e42be13f-e5ef-41e8-875b-c2fffbb80c8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E59A1F4-35DA-4C9B-A41F-D8C0C01ADEE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Birthday dates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KU-EXT, Darshan Kumar (uig15036)</dc:creator>
  <cp:lastModifiedBy>KU-EXT, Darshan Kumar</cp:lastModifiedBy>
  <dcterms:created xsi:type="dcterms:W3CDTF">2023-07-28T05:26:27Z</dcterms:created>
  <dcterms:modified xsi:type="dcterms:W3CDTF">2025-08-12T09:25:45Z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0x01010013870A7334FF2B47A62A610B973CC6AA</vt:lpwstr>
  </property>
</Properties>
</file>